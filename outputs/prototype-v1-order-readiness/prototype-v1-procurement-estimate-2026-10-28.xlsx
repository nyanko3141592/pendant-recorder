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a4285c0a8b4cc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b527dc0212846d8"/>
    <x:sheet xmlns:r="http://schemas.openxmlformats.org/officeDocument/2006/relationships" name="BOM detail" sheetId="2" r:id="R5abfd873405c4a6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"/>
    <x:numFmt numFmtId="201" formatCode="0.00"/>
    <x:numFmt numFmtId="202" formatCode="0.0%"/>
    <x:numFmt numFmtId="203" formatCode="#,##0.00"/>
  </x:numFmts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  <x:font>
      <x:b/>
      <x:sz val="11"/>
      <x:color rgb="FF9C0006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2F75B5"/>
      </x:patternFill>
    </x:fill>
    <x:fill>
      <x:patternFill patternType="solid">
        <x:fgColor rgb="FFFFF2CC"/>
      </x:patternFill>
    </x:fill>
    <x:fill>
      <x:patternFill patternType="solid">
        <x:fgColor rgb="FF7030A0"/>
      </x:patternFill>
    </x:fill>
    <x:fill>
      <x:patternFill patternType="solid">
        <x:fgColor rgb="FFF4CCCC"/>
      </x:patternFill>
    </x:fill>
    <x:fill>
      <x:patternFill patternType="solid">
        <x:fgColor rgb="FF1F4E78"/>
      </x:patternFill>
    </x:fill>
  </x:fills>
  <x:borders count="3">
    <x:border>
      <x:left/>
      <x:right/>
      <x:top/>
      <x:bottom/>
      <x:diagonal/>
    </x:border>
    <x:border>
      <x:left style="thin">
        <x:color rgb="FFD6B656"/>
      </x:left>
      <x:right style="thin">
        <x:color rgb="FFD6B656"/>
      </x:right>
      <x:top style="thin">
        <x:color rgb="FFD6B656"/>
      </x:top>
      <x:bottom style="thin">
        <x:color rgb="FFD6B656"/>
      </x:bottom>
      <x:diagonal/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  <x:diagonal/>
    </x:border>
  </x:borders>
  <x:cellStyleXfs count="1">
    <x:xf numFmtId="0" fontId="0" fillId="0" borderId="0"/>
  </x:cellStyleXfs>
  <x:cellXfs count="3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203" fontId="0" fillId="0" borderId="0" xfId="0" applyNumberFormat="1" applyFont="1" applyFill="1" applyBorder="1"/>
    <x:xf numFmtId="0" fontId="0" fillId="5" borderId="0" xfId="0" applyNumberFormat="1" applyFont="1" applyFill="1" applyBorder="1"/>
    <x:xf numFmtId="203" fontId="0" fillId="5" borderId="0" xfId="0" applyNumberFormat="1" applyFont="1" applyFill="1" applyBorder="1"/>
    <x:xf numFmtId="0" fontId="2" fillId="5" borderId="0" xfId="0" applyNumberFormat="1" applyFont="1" applyFill="1" applyBorder="1"/>
    <x:xf numFmtId="203" fontId="2" fillId="5" borderId="0" xfId="0" applyNumberFormat="1" applyFont="1" applyFill="1" applyBorder="1"/>
    <x:xf numFmtId="0" fontId="2" fillId="5" borderId="1" xfId="0" applyNumberFormat="1" applyFont="1" applyFill="1" applyBorder="1"/>
    <x:xf numFmtId="203" fontId="2" fillId="5" borderId="1" xfId="0" applyNumberFormat="1" applyFont="1" applyFill="1" applyBorder="1"/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0" fillId="0" borderId="2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7" borderId="2" xfId="0" applyNumberFormat="1" applyFont="1" applyFill="1" applyBorder="1" applyAlignment="1">
      <x:alignment wrapText="1"/>
    </x:xf>
    <x:xf numFmtId="0" fontId="4" fillId="7" borderId="2" xfId="0" applyNumberFormat="1" applyFont="1" applyFill="1" applyBorder="1" applyAlignment="1">
      <x:alignment wrapText="1"/>
    </x:xf>
    <x:xf numFmtId="0" fontId="4" fillId="7" borderId="2" xfId="0" applyNumberFormat="1" applyFont="1" applyFill="1" applyBorder="1" applyAlignment="1">
      <x:alignment horizontal="center" wrapText="1"/>
    </x:xf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3" fillId="8" borderId="0" xfId="0" applyNumberFormat="1" applyFont="1" applyFill="1" applyBorder="1" applyAlignment="1">
      <x:alignment wrapText="1"/>
    </x:xf>
    <x:xf numFmtId="0" fontId="3" fillId="8" borderId="2" xfId="0" applyNumberFormat="1" applyFont="1" applyFill="1" applyBorder="1" applyAlignment="1">
      <x:alignment wrapText="1"/>
    </x:xf>
    <x:xf numFmtId="203" fontId="0" fillId="0" borderId="2" xfId="0" applyNumberFormat="1" applyFont="1" applyFill="1" applyBorder="1"/>
    <x:xf numFmtId="203" fontId="0" fillId="0" borderId="2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229e0a91db14da7" /><Relationship Type="http://schemas.openxmlformats.org/officeDocument/2006/relationships/theme" Target="/xl/theme/theme1.xml" Id="R6047a66748724fe5" /><Relationship Type="http://schemas.openxmlformats.org/officeDocument/2006/relationships/sharedStrings" Target="/xl/sharedStrings.xml" Id="Rc7bd8f6e4af347c9" /><Relationship Type="http://schemas.openxmlformats.org/officeDocument/2006/relationships/worksheet" Target="/xl/worksheets/sheet1.xml" Id="Rab527dc0212846d8" /><Relationship Type="http://schemas.openxmlformats.org/officeDocument/2006/relationships/worksheet" Target="/xl/worksheets/sheet2.xml" Id="R5abfd873405c4a6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22" hidden="0" customWidth="1"/>
    <x:col min="3" max="3" width="16" hidden="0" customWidth="1"/>
    <x:col min="4" max="4" width="16" hidden="0" customWidth="1"/>
    <x:col min="5" max="5" width="16" hidden="0" customWidth="1"/>
    <x:col min="6" max="6" width="52" hidden="0" customWidth="1"/>
  </x:cols>
  <x:sheetData>
    <x:row r="1" ht="19.200000762939453" hidden="0" customHeight="1">
      <x:c r="A1" s="3" t="str">
        <x:v>Prototype v1 発注準備・概算（5台）</x:v>
      </x:c>
      <x:c r="B1" s="3"/>
      <x:c r="C1" s="3"/>
      <x:c r="D1" s="3"/>
      <x:c r="E1" s="3"/>
      <x:c r="F1" s="3"/>
    </x:row>
    <x:row r="2"/>
    <x:row r="3" ht="15" hidden="0" customHeight="1">
      <x:c r="A3" s="8" t="str">
        <x:v>基準日</x:v>
      </x:c>
      <x:c r="B3" s="4" t="d">
        <x:v>2026-10-28T00:00:00.000Z</x:v>
      </x:c>
    </x:row>
    <x:row r="4" ht="15" hidden="0" customHeight="1">
      <x:c r="A4" s="8" t="str">
        <x:v>台数</x:v>
      </x:c>
      <x:c r="B4" t="n">
        <x:v>5</x:v>
      </x:c>
    </x:row>
    <x:row r="5" ht="15" hidden="0" customHeight="1">
      <x:c r="A5" s="8" t="str">
        <x:v>実装点/台</x:v>
      </x:c>
      <x:c r="B5" t="n">
        <x:v>75</x:v>
      </x:c>
    </x:row>
    <x:row r="6" ht="15" hidden="0" customHeight="1">
      <x:c r="A6" s="8" t="str">
        <x:v>BOM品種</x:v>
      </x:c>
      <x:c r="B6" t="n">
        <x:v>39</x:v>
      </x:c>
    </x:row>
    <x:row r="7" ht="15" hidden="0" customHeight="1">
      <x:c r="A7" s="8" t="str">
        <x:v>USD/JPY（編集可）</x:v>
      </x:c>
      <x:c r="B7" s="5" t="n">
        <x:v>155</x:v>
      </x:c>
    </x:row>
    <x:row r="8" ht="15" hidden="0" customHeight="1">
      <x:c r="A8" s="8" t="str">
        <x:v>消費税率（編集可）</x:v>
      </x:c>
      <x:c r="B8" s="6" t="n">
        <x:v>0.1</x:v>
      </x:c>
    </x:row>
    <x:row r="9" ht="15" hidden="0" customHeight="1">
      <x:c r="A9" s="8" t="str">
        <x:v>判定</x:v>
      </x:c>
      <x:c r="B9" t="str">
        <x:v>見積アップロード可能／決済前にDFM・実装プレビュー確認必須</x:v>
      </x:c>
    </x:row>
    <x:row r="10"/>
    <x:row r="11" ht="26.399999618530273" hidden="0" customHeight="1">
      <x:c r="A11" s="11" t="str">
        <x:v>区分</x:v>
      </x:c>
      <x:c r="B11" s="11" t="str">
        <x:v>通貨</x:v>
      </x:c>
      <x:c r="C11" s="11" t="str">
        <x:v>下限</x:v>
      </x:c>
      <x:c r="D11" s="11" t="str">
        <x:v>上限</x:v>
      </x:c>
      <x:c r="E11" s="11" t="str">
        <x:v>円換算（採用値）</x:v>
      </x:c>
      <x:c r="F11" s="11" t="str">
        <x:v>根拠・注意</x:v>
      </x:c>
    </x:row>
    <x:row r="12" ht="15" hidden="0" customHeight="1">
      <x:c r="A12" t="str">
        <x:v>部品（既知価格のみ）</x:v>
      </x:c>
      <x:c r="B12" t="str">
        <x:v>JPY</x:v>
      </x:c>
      <x:c r="C12" s="12"/>
      <x:c r="D12" s="12"/>
      <x:c r="E12" s="12" t="n">
        <x:f>SUM('BOM detail'!$K$2:$K$200)</x:f>
        <x:v>34151.7</x:v>
      </x:c>
      <x:c r="F12" t="str">
        <x:v>旧参照価格＋2026-10-28再確認値。未価格行は0円扱い</x:v>
      </x:c>
    </x:row>
    <x:row r="13" ht="15" hidden="0" customHeight="1">
      <x:c r="A13" t="str">
        <x:v>JLC実装費（公開料率モデル）</x:v>
      </x:c>
      <x:c r="B13" t="str">
        <x:v>USD</x:v>
      </x:c>
      <x:c r="C13" s="12" t="n">
        <x:v>151.54</x:v>
      </x:c>
      <x:c r="D13" s="12" t="n">
        <x:v>163.78</x:v>
      </x:c>
      <x:c r="E13" s="12" t="n">
        <x:f>AVERAGE(C13:D13)*$B$7</x:f>
        <x:v>24437.3</x:v>
      </x:c>
      <x:c r="F13" t="str">
        <x:v>JLC公開料率による151.54–163.78 USD。正式見積ではない</x:v>
      </x:c>
    </x:row>
    <x:row r="14" ht="15" hidden="0" customHeight="1">
      <x:c r="A14" t="str">
        <x:v>PCB製造・特殊ビア（ライブ解析）</x:v>
      </x:c>
      <x:c r="B14" t="str">
        <x:v>USD</x:v>
      </x:c>
      <x:c r="C14" s="12" t="n">
        <x:v>103.81</x:v>
      </x:c>
      <x:c r="D14" s="12" t="n">
        <x:v>103.81</x:v>
      </x:c>
      <x:c r="E14" s="12" t="n">
        <x:f>AVERAGE(C14:D14)*$B$7</x:f>
        <x:v>16090.550000000001</x:v>
      </x:c>
      <x:c r="F14" t="str">
        <x:v>Gerber解析済: 6層27×24mm、0.8mm、ENIG、0.15mmビア、エポキシ充填＋銅キャップ、JLC06081H-2116</x:v>
      </x:c>
    </x:row>
    <x:row r="15" ht="15" hidden="0" customHeight="1">
      <x:c r="A15" t="str">
        <x:v>JLC部品最低数量・不足品手配</x:v>
      </x:c>
      <x:c r="B15" t="str">
        <x:v>USD</x:v>
      </x:c>
      <x:c r="C15" s="12" t="n">
        <x:v>0</x:v>
      </x:c>
      <x:c r="D15" s="12" t="n">
        <x:v>0</x:v>
      </x:c>
      <x:c r="E15" s="12" t="n">
        <x:f>AVERAGE(C15:D15)*$B$7</x:f>
        <x:v>0</x:v>
      </x:c>
      <x:c r="F15" t="str">
        <x:v>在庫、部品購入最小数、損耗、支給受入費用を見積時に反映</x:v>
      </x:c>
    </x:row>
    <x:row r="16" ht="15" hidden="0" customHeight="1">
      <x:c r="A16" t="str">
        <x:v>送料（ライブ表示）</x:v>
      </x:c>
      <x:c r="B16" t="str">
        <x:v>USD</x:v>
      </x:c>
      <x:c r="C16" s="12" t="n">
        <x:v>9.75</x:v>
      </x:c>
      <x:c r="D16" s="12" t="n">
        <x:v>9.75</x:v>
      </x:c>
      <x:c r="E16" s="12" t="n">
        <x:f>AVERAGE(C16:D16)*$B$7</x:f>
        <x:v>1511.25</x:v>
      </x:c>
      <x:c r="F16" t="str">
        <x:v>UPS Worldwide Express Saver表示。配送先ログイン後に再確認</x:v>
      </x:c>
    </x:row>
    <x:row r="17" ht="15" hidden="0" customHeight="1">
      <x:c r="A17" s="17" t="str">
        <x:v>小計（税抜）</x:v>
      </x:c>
      <x:c r="B17" s="17" t="str">
        <x:v>JPY</x:v>
      </x:c>
      <x:c r="C17" s="18"/>
      <x:c r="D17" s="18"/>
      <x:c r="E17" s="18" t="n">
        <x:f>SUM(E12:E16)</x:f>
        <x:v>76190.8</x:v>
      </x:c>
      <x:c r="F17" s="17" t="str">
        <x:v>未入力費用を含まない</x:v>
      </x:c>
    </x:row>
    <x:row r="18" ht="15" hidden="0" customHeight="1">
      <x:c r="A18" s="17" t="str">
        <x:v>税込総額</x:v>
      </x:c>
      <x:c r="B18" s="17" t="str">
        <x:v>JPY</x:v>
      </x:c>
      <x:c r="C18" s="18"/>
      <x:c r="D18" s="18"/>
      <x:c r="E18" s="18" t="n">
        <x:f>E17*(1+$B$8)</x:f>
        <x:v>83809.88</x:v>
      </x:c>
      <x:c r="F18" s="17" t="str">
        <x:v>暫定。発注総額ではない</x:v>
      </x:c>
    </x:row>
    <x:row r="19"/>
    <x:row r="20"/>
    <x:row r="21" ht="15" hidden="0" customHeight="1">
      <x:c r="A21" s="20" t="str">
        <x:v>発注前ゲート</x:v>
      </x:c>
      <x:c r="B21" s="20"/>
      <x:c r="C21" s="20"/>
      <x:c r="D21" s="20"/>
      <x:c r="E21" s="20"/>
      <x:c r="F21" s="20"/>
    </x:row>
    <x:row r="22" ht="118.80000305175781" hidden="0" customHeight="1">
      <x:c r="A22" s="22" t="str">
        <x:v>1</x:v>
      </x:c>
      <x:c r="B22" s="22" t="str">
        <x:v>JLC CAM/DFM</x:v>
      </x:c>
      <x:c r="C22" s="22" t="str">
        <x:v>指定14ビア（うちパッド重複13）の充填・平坦化・銅キャップを製造確認</x:v>
      </x:c>
      <x:c r="D22" s="25" t="str">
        <x:v>未完</x:v>
      </x:c>
      <x:c r="E22" s="22" t="str"/>
      <x:c r="F22" s="22" t="str"/>
    </x:row>
    <x:row r="23" ht="92.4000015258789" hidden="0" customHeight="1">
      <x:c r="A23" s="22" t="str">
        <x:v>2</x:v>
      </x:c>
      <x:c r="B23" s="22" t="str">
        <x:v>BOM/CPL</x:v>
      </x:c>
      <x:c r="C23" s="22" t="str">
        <x:v>75実装点、Bottom反転、回転、Pin 1をプレビューで確認</x:v>
      </x:c>
      <x:c r="D23" s="25" t="str">
        <x:v>未完</x:v>
      </x:c>
      <x:c r="E23" s="22" t="str"/>
      <x:c r="F23" s="22" t="str"/>
    </x:row>
    <x:row r="24" ht="79.19999694824219" hidden="0" customHeight="1">
      <x:c r="A24" s="22" t="str">
        <x:v>3</x:v>
      </x:c>
      <x:c r="B24" s="22" t="str">
        <x:v>部品</x:v>
      </x:c>
      <x:c r="C24" s="22" t="str">
        <x:v>支給・事前購入対象の受入可否と余剰数量を確定</x:v>
      </x:c>
      <x:c r="D24" s="25" t="str">
        <x:v>未完</x:v>
      </x:c>
      <x:c r="E24" s="22" t="str"/>
      <x:c r="F24" s="22" t="str"/>
    </x:row>
    <x:row r="25" ht="79.19999694824219" hidden="0" customHeight="1">
      <x:c r="A25" s="22" t="str">
        <x:v>4</x:v>
      </x:c>
      <x:c r="B25" s="22" t="str">
        <x:v>実機</x:v>
      </x:c>
      <x:c r="C25" s="22" t="str">
        <x:v>初回ケース印刷、USB-C干渉、極性、吊下げ荷重を確認</x:v>
      </x:c>
      <x:c r="D25" s="25" t="str">
        <x:v>未完</x:v>
      </x:c>
      <x:c r="E25" s="22" t="str"/>
      <x:c r="F25" s="22" t="str"/>
    </x:row>
  </x:sheetData>
  <x:mergeCells>
    <x:mergeCell ref="A1:F1"/>
    <x:mergeCell ref="A21:F2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7" hidden="0" customWidth="1"/>
    <x:col min="2" max="2" width="25" hidden="0" customWidth="1"/>
    <x:col min="3" max="3" width="14" hidden="0" customWidth="1"/>
    <x:col min="4" max="4" width="30" hidden="0" customWidth="1"/>
    <x:col min="5" max="5" width="48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48" hidden="0" customWidth="1"/>
    <x:col min="13" max="13" width="38" hidden="0" customWidth="1"/>
  </x:cols>
  <x:sheetData>
    <x:row r="1" ht="26.399999618530273" hidden="0" customHeight="1">
      <x:c r="A1" s="29" t="str">
        <x:v>Route</x:v>
      </x:c>
      <x:c r="B1" s="29" t="str">
        <x:v>MPN</x:v>
      </x:c>
      <x:c r="C1" s="29" t="str">
        <x:v>JLC/LCSC</x:v>
      </x:c>
      <x:c r="D1" s="29" t="str">
        <x:v>References</x:v>
      </x:c>
      <x:c r="E1" s="29" t="str">
        <x:v>Footprint</x:v>
      </x:c>
      <x:c r="F1" s="29" t="str">
        <x:v>Qty/device</x:v>
      </x:c>
      <x:c r="G1" s="29" t="str">
        <x:v>Qty/5</x:v>
      </x:c>
      <x:c r="H1" s="29" t="str">
        <x:v>Buy qty</x:v>
      </x:c>
      <x:c r="I1" s="29" t="str">
        <x:v>Unit price</x:v>
      </x:c>
      <x:c r="J1" s="29" t="str">
        <x:v>Currency</x:v>
      </x:c>
      <x:c r="K1" s="29" t="str">
        <x:v>Line total JPY</x:v>
      </x:c>
      <x:c r="L1" s="29" t="str">
        <x:v>Source</x:v>
      </x:c>
      <x:c r="M1" s="29" t="str">
        <x:v>Status</x:v>
      </x:c>
    </x:row>
    <x:row r="2" ht="105.5999984741211" hidden="0" customHeight="1">
      <x:c r="A2" s="22" t="str">
        <x:v>JLC_STOCK_SMT</x:v>
      </x:c>
      <x:c r="B2" s="22" t="str">
        <x:v>781710003</x:v>
      </x:c>
      <x:c r="C2" s="22" t="str">
        <x:v>C564183</x:v>
      </x:c>
      <x:c r="D2" s="22" t="str">
        <x:v>J2</x:v>
      </x:c>
      <x:c r="E2" s="22" t="str">
        <x:v>Connector_Molex:Molex_Pico-EZmate_78171-0003_1x03-1MP_P1.20mm_Vertical</x:v>
      </x:c>
      <x:c r="F2" s="31" t="n">
        <x:v>1</x:v>
      </x:c>
      <x:c r="G2" s="31" t="n">
        <x:v>5</x:v>
      </x:c>
      <x:c r="H2" s="31" t="str">
        <x:v>JLC quote</x:v>
      </x:c>
      <x:c r="I2" s="31" t="n">
        <x:v>68</x:v>
      </x:c>
      <x:c r="J2" s="31" t="str">
        <x:v>JPY</x:v>
      </x:c>
      <x:c r="K2" s="31" t="n">
        <x:v>340</x:v>
      </x:c>
      <x:c r="L2" s="22" t="str">
        <x:v>https://www.digikey.jp/ja/products/detail/molex/0781710003/2754172</x:v>
      </x:c>
      <x:c r="M2" s="22" t="str">
        <x:v>REFERENCE_PRICE_RECHECK_AT_CHECKOUT</x:v>
      </x:c>
    </x:row>
    <x:row r="3" ht="132" hidden="0" customHeight="1">
      <x:c r="A3" s="22" t="str">
        <x:v>JLC_STOCK_SMT</x:v>
      </x:c>
      <x:c r="B3" s="22" t="str">
        <x:v>B3U-1000P</x:v>
      </x:c>
      <x:c r="C3" s="22" t="str"/>
      <x:c r="D3" s="22" t="str">
        <x:v>SW1</x:v>
      </x:c>
      <x:c r="E3" s="22" t="str">
        <x:v>Button_Switch_SMD:SW_SPST_B3U-1000P</x:v>
      </x:c>
      <x:c r="F3" s="31" t="n">
        <x:v>1</x:v>
      </x:c>
      <x:c r="G3" s="31" t="n">
        <x:v>5</x:v>
      </x:c>
      <x:c r="H3" s="31" t="str">
        <x:v>JLC quote</x:v>
      </x:c>
      <x:c r="I3" s="31" t="n">
        <x:v>195</x:v>
      </x:c>
      <x:c r="J3" s="31" t="str">
        <x:v>JPY</x:v>
      </x:c>
      <x:c r="K3" s="31" t="n">
        <x:v>975</x:v>
      </x:c>
      <x:c r="L3" s="22" t="str">
        <x:v>https://www.digikey.jp/en/products/detail/aratas-formerly-omron-components/B3U-1000P/1534338</x:v>
      </x:c>
      <x:c r="M3" s="22" t="str">
        <x:v>REFERENCE_PRICE_RECHECK_AT_CHECKOUT</x:v>
      </x:c>
    </x:row>
    <x:row r="4" ht="118.80000305175781" hidden="0" customHeight="1">
      <x:c r="A4" s="22" t="str">
        <x:v>JLC_STOCK_SMT</x:v>
      </x:c>
      <x:c r="B4" s="22" t="str">
        <x:v>BQ25185DLHR</x:v>
      </x:c>
      <x:c r="C4" s="22" t="str">
        <x:v>C19725033</x:v>
      </x:c>
      <x:c r="D4" s="22" t="str">
        <x:v>U3</x:v>
      </x:c>
      <x:c r="E4" s="22" t="str">
        <x:v>Package_DFN_QFN:Texas_DLH0010A_WSON-10-1EP_2.2x2mm_P0.4mm_EP0.9x1.5mm</x:v>
      </x:c>
      <x:c r="F4" s="31" t="n">
        <x:v>1</x:v>
      </x:c>
      <x:c r="G4" s="31" t="n">
        <x:v>5</x:v>
      </x:c>
      <x:c r="H4" s="31" t="str">
        <x:v>JLC quote</x:v>
      </x:c>
      <x:c r="I4" s="31" t="n">
        <x:v>422</x:v>
      </x:c>
      <x:c r="J4" s="31" t="str">
        <x:v>JPY</x:v>
      </x:c>
      <x:c r="K4" s="31" t="n">
        <x:v>2110</x:v>
      </x:c>
      <x:c r="L4" s="22" t="str">
        <x:v>https://www.digikey.jp/ja/products/detail/texas-instruments/BQ25185DLHR/21769368</x:v>
      </x:c>
      <x:c r="M4" s="22" t="str">
        <x:v>REFERENCE_PRICE_RECHECK_AT_CHECKOUT</x:v>
      </x:c>
    </x:row>
    <x:row r="5" ht="105.5999984741211" hidden="0" customHeight="1">
      <x:c r="A5" s="22" t="str">
        <x:v>JLC_STOCK_SMT</x:v>
      </x:c>
      <x:c r="B5" s="22" t="str">
        <x:v>CC0402JRNPO9BN500</x:v>
      </x:c>
      <x:c r="C5" s="22" t="str">
        <x:v>C576707</x:v>
      </x:c>
      <x:c r="D5" s="22" t="str">
        <x:v>C30</x:v>
      </x:c>
      <x:c r="E5" s="22" t="str">
        <x:v>Capacitor_SMD:C_0402_1005Metric</x:v>
      </x:c>
      <x:c r="F5" s="31" t="n">
        <x:v>1</x:v>
      </x:c>
      <x:c r="G5" s="31" t="n">
        <x:v>5</x:v>
      </x:c>
      <x:c r="H5" s="31" t="str">
        <x:v>JLC quote</x:v>
      </x:c>
      <x:c r="I5" s="31" t="n">
        <x:v>17</x:v>
      </x:c>
      <x:c r="J5" s="31" t="str">
        <x:v>JPY</x:v>
      </x:c>
      <x:c r="K5" s="31" t="n">
        <x:v>85</x:v>
      </x:c>
      <x:c r="L5" s="22" t="str">
        <x:v>https://www.digikey.jp/ja/products/detail/yageo/CC0402JRNPO9BN500/11490475</x:v>
      </x:c>
      <x:c r="M5" s="22" t="str">
        <x:v>REFERENCE_PRICE_RECHECK_AT_CHECKOUT</x:v>
      </x:c>
    </x:row>
    <x:row r="6" ht="105.5999984741211" hidden="0" customHeight="1">
      <x:c r="A6" s="22" t="str">
        <x:v>JLC_STOCK_SMT</x:v>
      </x:c>
      <x:c r="B6" s="22" t="str">
        <x:v>CC0402KRX5R6BB105</x:v>
      </x:c>
      <x:c r="C6" s="22" t="str"/>
      <x:c r="D6" s="22" t="str">
        <x:v>C16 C25 C7</x:v>
      </x:c>
      <x:c r="E6" s="22" t="str">
        <x:v>Capacitor_SMD:C_0402_1005Metric</x:v>
      </x:c>
      <x:c r="F6" s="31" t="n">
        <x:v>3</x:v>
      </x:c>
      <x:c r="G6" s="31" t="n">
        <x:v>15</x:v>
      </x:c>
      <x:c r="H6" s="31" t="str">
        <x:v>JLC quote</x:v>
      </x:c>
      <x:c r="I6" s="31" t="n">
        <x:v>17.7</x:v>
      </x:c>
      <x:c r="J6" s="31" t="str">
        <x:v>JPY</x:v>
      </x:c>
      <x:c r="K6" s="31" t="n">
        <x:v>265.5</x:v>
      </x:c>
      <x:c r="L6" s="22" t="str">
        <x:v>https://www.digikey.jp/ja/products/detail/yageo/CC0402KRX5R6BB105/2833604</x:v>
      </x:c>
      <x:c r="M6" s="22" t="str">
        <x:v>REFERENCE_PRICE_RECHECK_AT_CHECKOUT</x:v>
      </x:c>
    </x:row>
    <x:row r="7" ht="105.5999984741211" hidden="0" customHeight="1">
      <x:c r="A7" s="22" t="str">
        <x:v>JLC_STOCK_SMT</x:v>
      </x:c>
      <x:c r="B7" s="22" t="str">
        <x:v>CC0402KRX5R6BB225</x:v>
      </x:c>
      <x:c r="C7" s="22" t="str"/>
      <x:c r="D7" s="22" t="str">
        <x:v>C13 C14</x:v>
      </x:c>
      <x:c r="E7" s="22" t="str">
        <x:v>Capacitor_SMD:C_0402_1005Metric</x:v>
      </x:c>
      <x:c r="F7" s="31" t="n">
        <x:v>2</x:v>
      </x:c>
      <x:c r="G7" s="31" t="n">
        <x:v>10</x:v>
      </x:c>
      <x:c r="H7" s="31" t="str">
        <x:v>JLC quote</x:v>
      </x:c>
      <x:c r="I7" s="31" t="n">
        <x:v>16</x:v>
      </x:c>
      <x:c r="J7" s="31" t="str">
        <x:v>JPY</x:v>
      </x:c>
      <x:c r="K7" s="31" t="n">
        <x:v>160</x:v>
      </x:c>
      <x:c r="L7" s="22" t="str">
        <x:v>https://www.digikey.jp/ja/products/detail/yageo/CC0402KRX5R6BB225/5195095</x:v>
      </x:c>
      <x:c r="M7" s="22" t="str">
        <x:v>REFERENCE_PRICE_RECHECK_AT_CHECKOUT</x:v>
      </x:c>
    </x:row>
    <x:row r="8" ht="105.5999984741211" hidden="0" customHeight="1">
      <x:c r="A8" s="22" t="str">
        <x:v>JLC_STOCK_SMT</x:v>
      </x:c>
      <x:c r="B8" s="22" t="str">
        <x:v>CC0402KRX7R7BB104</x:v>
      </x:c>
      <x:c r="C8" s="22" t="str"/>
      <x:c r="D8" s="22" t="str">
        <x:v>C1 C2 C22 C26 C29 C3 C32 C33 C6 C9</x:v>
      </x:c>
      <x:c r="E8" s="22" t="str">
        <x:v>Capacitor_SMD:C_0402_1005Metric</x:v>
      </x:c>
      <x:c r="F8" s="31" t="n">
        <x:v>10</x:v>
      </x:c>
      <x:c r="G8" s="31" t="n">
        <x:v>50</x:v>
      </x:c>
      <x:c r="H8" s="31" t="str">
        <x:v>JLC quote</x:v>
      </x:c>
      <x:c r="I8" s="31" t="n">
        <x:v>4.62</x:v>
      </x:c>
      <x:c r="J8" s="31" t="str">
        <x:v>JPY</x:v>
      </x:c>
      <x:c r="K8" s="31" t="n">
        <x:v>231</x:v>
      </x:c>
      <x:c r="L8" s="22" t="str">
        <x:v>https://www.digikey.jp/ja/products/detail/yageo/CC0402KRX7R7BB104/2103122</x:v>
      </x:c>
      <x:c r="M8" s="22" t="str">
        <x:v>REFERENCE_PRICE_RECHECK_AT_CHECKOUT</x:v>
      </x:c>
    </x:row>
    <x:row r="9" ht="105.5999984741211" hidden="0" customHeight="1">
      <x:c r="A9" s="22" t="str">
        <x:v>JLC_STOCK_SMT</x:v>
      </x:c>
      <x:c r="B9" s="22" t="str">
        <x:v>CC0402KRX7R9BB103</x:v>
      </x:c>
      <x:c r="C9" s="22" t="str"/>
      <x:c r="D9" s="22" t="str">
        <x:v>C28</x:v>
      </x:c>
      <x:c r="E9" s="22" t="str">
        <x:v>Capacitor_SMD:C_0402_1005Metric</x:v>
      </x:c>
      <x:c r="F9" s="31" t="n">
        <x:v>1</x:v>
      </x:c>
      <x:c r="G9" s="31" t="n">
        <x:v>5</x:v>
      </x:c>
      <x:c r="H9" s="31" t="str">
        <x:v>JLC quote</x:v>
      </x:c>
      <x:c r="I9" s="31" t="n">
        <x:v>16</x:v>
      </x:c>
      <x:c r="J9" s="31" t="str">
        <x:v>JPY</x:v>
      </x:c>
      <x:c r="K9" s="31" t="n">
        <x:v>80</x:v>
      </x:c>
      <x:c r="L9" s="22" t="str">
        <x:v>https://www.digikey.jp/ja/products/detail/yageo/CC0402KRX7R9BB103/2103087</x:v>
      </x:c>
      <x:c r="M9" s="22" t="str">
        <x:v>REFERENCE_PRICE_RECHECK_AT_CHECKOUT</x:v>
      </x:c>
    </x:row>
    <x:row r="10" ht="105.5999984741211" hidden="0" customHeight="1">
      <x:c r="A10" s="22" t="str">
        <x:v>JLC_STOCK_SMT</x:v>
      </x:c>
      <x:c r="B10" s="22" t="str">
        <x:v>CC0603KRX5R6BB106</x:v>
      </x:c>
      <x:c r="C10" s="22" t="str"/>
      <x:c r="D10" s="22" t="str">
        <x:v>C15 C4</x:v>
      </x:c>
      <x:c r="E10" s="22" t="str">
        <x:v>Capacitor_SMD:C_0603_1608Metric</x:v>
      </x:c>
      <x:c r="F10" s="31" t="n">
        <x:v>2</x:v>
      </x:c>
      <x:c r="G10" s="31" t="n">
        <x:v>10</x:v>
      </x:c>
      <x:c r="H10" s="31" t="str">
        <x:v>JLC quote</x:v>
      </x:c>
      <x:c r="I10" s="31" t="n">
        <x:v>34</x:v>
      </x:c>
      <x:c r="J10" s="31" t="str">
        <x:v>JPY</x:v>
      </x:c>
      <x:c r="K10" s="31" t="n">
        <x:v>340</x:v>
      </x:c>
      <x:c r="L10" s="22" t="str">
        <x:v>https://www.digikey.jp/en/products/detail/yageo/CC0603KRX5R6BB106/5195191</x:v>
      </x:c>
      <x:c r="M10" s="22" t="str">
        <x:v>REFERENCE_PRICE_RECHECK_AT_CHECKOUT</x:v>
      </x:c>
    </x:row>
    <x:row r="11" ht="105.5999984741211" hidden="0" customHeight="1">
      <x:c r="A11" s="22" t="str">
        <x:v>JLC_STOCK_SMT</x:v>
      </x:c>
      <x:c r="B11" s="22" t="str">
        <x:v>CC0603KRX5R6BB475</x:v>
      </x:c>
      <x:c r="C11" s="22" t="str"/>
      <x:c r="D11" s="22" t="str">
        <x:v>C27 C5</x:v>
      </x:c>
      <x:c r="E11" s="22" t="str">
        <x:v>Capacitor_SMD:C_0603_1608Metric</x:v>
      </x:c>
      <x:c r="F11" s="31" t="n">
        <x:v>2</x:v>
      </x:c>
      <x:c r="G11" s="31" t="n">
        <x:v>10</x:v>
      </x:c>
      <x:c r="H11" s="31" t="str">
        <x:v>JLC quote</x:v>
      </x:c>
      <x:c r="I11" s="31" t="n">
        <x:v>28</x:v>
      </x:c>
      <x:c r="J11" s="31" t="str">
        <x:v>JPY</x:v>
      </x:c>
      <x:c r="K11" s="31" t="n">
        <x:v>280</x:v>
      </x:c>
      <x:c r="L11" s="22" t="str">
        <x:v>https://www.digikey.jp/ja/products/detail/yageo/CC0603KRX5R6BB475/2833761</x:v>
      </x:c>
      <x:c r="M11" s="22" t="str">
        <x:v>REFERENCE_PRICE_RECHECK_AT_CHECKOUT</x:v>
      </x:c>
    </x:row>
    <x:row r="12" ht="52.79999923706055" hidden="0" customHeight="1">
      <x:c r="A12" s="22" t="str">
        <x:v>JLC_STOCK_SMT</x:v>
      </x:c>
      <x:c r="B12" s="22" t="str">
        <x:v>CL05A105KP5NNNC</x:v>
      </x:c>
      <x:c r="C12" s="22" t="str">
        <x:v>C14445</x:v>
      </x:c>
      <x:c r="D12" s="22" t="str">
        <x:v>C31</x:v>
      </x:c>
      <x:c r="E12" s="22" t="str">
        <x:v>Capacitor_SMD:C_0402_1005Metric</x:v>
      </x:c>
      <x:c r="F12" s="31" t="n">
        <x:v>1</x:v>
      </x:c>
      <x:c r="G12" s="31" t="n">
        <x:v>5</x:v>
      </x:c>
      <x:c r="H12" s="31" t="str">
        <x:v>JLC quote</x:v>
      </x:c>
      <x:c r="I12" s="31"/>
      <x:c r="J12" s="31" t="str">
        <x:v>JPY</x:v>
      </x:c>
      <x:c r="K12" s="31"/>
      <x:c r="L12" s="22" t="str"/>
      <x:c r="M12" s="22" t="str">
        <x:v>PRICE_FROM_JLC_QUOTE_REQUIRED</x:v>
      </x:c>
    </x:row>
    <x:row r="13" ht="52.79999923706055" hidden="0" customHeight="1">
      <x:c r="A13" s="22" t="str">
        <x:v>JLC_STOCK_SMT</x:v>
      </x:c>
      <x:c r="B13" s="22" t="str">
        <x:v>CSNP32GCR01-BOW</x:v>
      </x:c>
      <x:c r="C13" s="22" t="str">
        <x:v>C5440134</x:v>
      </x:c>
      <x:c r="D13" s="22" t="str">
        <x:v>U11</x:v>
      </x:c>
      <x:c r="E13" s="22" t="str">
        <x:v>Pendant:CSNP32GCR01_LGA8</x:v>
      </x:c>
      <x:c r="F13" s="31" t="n">
        <x:v>1</x:v>
      </x:c>
      <x:c r="G13" s="31" t="n">
        <x:v>5</x:v>
      </x:c>
      <x:c r="H13" s="31" t="str">
        <x:v>JLC quote</x:v>
      </x:c>
      <x:c r="I13" s="31"/>
      <x:c r="J13" s="31" t="str">
        <x:v>JPY</x:v>
      </x:c>
      <x:c r="K13" s="31"/>
      <x:c r="L13" s="22" t="str"/>
      <x:c r="M13" s="22" t="str">
        <x:v>PRICE_FROM_JLC_QUOTE_REQUIRED</x:v>
      </x:c>
    </x:row>
    <x:row r="14" ht="52.79999923706055" hidden="0" customHeight="1">
      <x:c r="A14" s="22" t="str">
        <x:v>JLC_STOCK_SMT</x:v>
      </x:c>
      <x:c r="B14" s="22" t="str">
        <x:v>DMN2056U-7</x:v>
      </x:c>
      <x:c r="C14" s="22" t="str">
        <x:v>C332302</x:v>
      </x:c>
      <x:c r="D14" s="22" t="str">
        <x:v>Q6 Q7</x:v>
      </x:c>
      <x:c r="E14" s="22" t="str">
        <x:v>Package_TO_SOT_SMD:SOT-23</x:v>
      </x:c>
      <x:c r="F14" s="31" t="n">
        <x:v>2</x:v>
      </x:c>
      <x:c r="G14" s="31" t="n">
        <x:v>10</x:v>
      </x:c>
      <x:c r="H14" s="31" t="str">
        <x:v>JLC quote</x:v>
      </x:c>
      <x:c r="I14" s="31"/>
      <x:c r="J14" s="31" t="str">
        <x:v>JPY</x:v>
      </x:c>
      <x:c r="K14" s="31"/>
      <x:c r="L14" s="22" t="str"/>
      <x:c r="M14" s="22" t="str">
        <x:v>PRICE_FROM_JLC_QUOTE_REQUIRED</x:v>
      </x:c>
    </x:row>
    <x:row r="15" ht="52.79999923706055" hidden="0" customHeight="1">
      <x:c r="A15" s="22" t="str">
        <x:v>JLC_STOCK_SMT</x:v>
      </x:c>
      <x:c r="B15" s="22" t="str">
        <x:v>DMN63D8L-7</x:v>
      </x:c>
      <x:c r="C15" s="22" t="str">
        <x:v>C338876</x:v>
      </x:c>
      <x:c r="D15" s="22" t="str">
        <x:v>Q3 Q4</x:v>
      </x:c>
      <x:c r="E15" s="22" t="str">
        <x:v>Package_TO_SOT_SMD:SOT-23</x:v>
      </x:c>
      <x:c r="F15" s="31" t="n">
        <x:v>2</x:v>
      </x:c>
      <x:c r="G15" s="31" t="n">
        <x:v>10</x:v>
      </x:c>
      <x:c r="H15" s="31" t="str">
        <x:v>JLC quote</x:v>
      </x:c>
      <x:c r="I15" s="31"/>
      <x:c r="J15" s="31" t="str">
        <x:v>JPY</x:v>
      </x:c>
      <x:c r="K15" s="31"/>
      <x:c r="L15" s="22" t="str"/>
      <x:c r="M15" s="22" t="str">
        <x:v>PRICE_FROM_JLC_QUOTE_REQUIRED</x:v>
      </x:c>
    </x:row>
    <x:row r="16" ht="118.80000305175781" hidden="0" customHeight="1">
      <x:c r="A16" s="22" t="str">
        <x:v>JLC_STOCK_SMT</x:v>
      </x:c>
      <x:c r="B16" s="22" t="str">
        <x:v>ERJ2RKF1303X</x:v>
      </x:c>
      <x:c r="C16" s="22" t="str"/>
      <x:c r="D16" s="22" t="str">
        <x:v>R42</x:v>
      </x:c>
      <x:c r="E16" s="22" t="str">
        <x:v>Resistor_SMD:R_0402_1005Metric</x:v>
      </x:c>
      <x:c r="F16" s="31" t="n">
        <x:v>1</x:v>
      </x:c>
      <x:c r="G16" s="31" t="n">
        <x:v>5</x:v>
      </x:c>
      <x:c r="H16" s="31" t="str">
        <x:v>JLC quote</x:v>
      </x:c>
      <x:c r="I16" s="31" t="n">
        <x:v>16</x:v>
      </x:c>
      <x:c r="J16" s="31" t="str">
        <x:v>JPY</x:v>
      </x:c>
      <x:c r="K16" s="31" t="n">
        <x:v>80</x:v>
      </x:c>
      <x:c r="L16" s="22" t="str">
        <x:v>https://www.digikey.jp/en/products/detail/panasonic-industry/ERJ-2RKF1303X/194169</x:v>
      </x:c>
      <x:c r="M16" s="22" t="str">
        <x:v>REFERENCE_PRICE_RECHECK_AT_CHECKOUT</x:v>
      </x:c>
    </x:row>
    <x:row r="17" ht="158.39999389648438" hidden="0" customHeight="1">
      <x:c r="A17" s="22" t="str">
        <x:v>JLC_PREORDER_OR_MANUAL_MATCH</x:v>
      </x:c>
      <x:c r="B17" s="22" t="str">
        <x:v>IM69D130V01XTSA1</x:v>
      </x:c>
      <x:c r="C17" s="22" t="str">
        <x:v>C9900015304</x:v>
      </x:c>
      <x:c r="D17" s="22" t="str">
        <x:v>U8</x:v>
      </x:c>
      <x:c r="E17" s="22" t="str">
        <x:v>Pendant:IM69D130_JLC_SMD_trial</x:v>
      </x:c>
      <x:c r="F17" s="31" t="n">
        <x:v>1</x:v>
      </x:c>
      <x:c r="G17" s="31" t="n">
        <x:v>5</x:v>
      </x:c>
      <x:c r="H17" s="31" t="str">
        <x:v>JLC quote</x:v>
      </x:c>
      <x:c r="I17" s="31" t="n">
        <x:v>429</x:v>
      </x:c>
      <x:c r="J17" s="31" t="str">
        <x:v>JPY</x:v>
      </x:c>
      <x:c r="K17" s="31" t="n">
        <x:v>2145</x:v>
      </x:c>
      <x:c r="L17" s="22" t="str">
        <x:v>https://www.digikey.jp/en/products/detail/infineon-technologies/IM69D130V01XTSA1/IM69D130V01XTSA1CT-ND/8030734</x:v>
      </x:c>
      <x:c r="M17" s="22" t="str">
        <x:v>REFERENCE_PRICE_RECHECK_AT_CHECKOUT</x:v>
      </x:c>
    </x:row>
    <x:row r="18" ht="145.1999969482422" hidden="0" customHeight="1">
      <x:c r="A18" s="22" t="str">
        <x:v>JLC_PREORDER_OR_MANUAL_MATCH</x:v>
      </x:c>
      <x:c r="B18" s="22" t="str">
        <x:v>MAX4995CAUT+T</x:v>
      </x:c>
      <x:c r="C18" s="22" t="str"/>
      <x:c r="D18" s="22" t="str">
        <x:v>U13</x:v>
      </x:c>
      <x:c r="E18" s="22" t="str">
        <x:v>Package_TO_SOT_SMD:SOT-23-6</x:v>
      </x:c>
      <x:c r="F18" s="31" t="n">
        <x:v>1</x:v>
      </x:c>
      <x:c r="G18" s="31" t="n">
        <x:v>5</x:v>
      </x:c>
      <x:c r="H18" s="31" t="str">
        <x:v>JLC quote</x:v>
      </x:c>
      <x:c r="I18" s="31" t="n">
        <x:v>1108</x:v>
      </x:c>
      <x:c r="J18" s="31" t="str">
        <x:v>JPY</x:v>
      </x:c>
      <x:c r="K18" s="31" t="n">
        <x:v>5540</x:v>
      </x:c>
      <x:c r="L18" s="22" t="str">
        <x:v>https://www.digikey.jp/ja/products/detail/analog-devices-inc-maxim-integrated/MAX4995CAUT-T/2137383</x:v>
      </x:c>
      <x:c r="M18" s="22" t="str">
        <x:v>REFERENCE_PRICE_RECHECK_AT_CHECKOUT</x:v>
      </x:c>
    </x:row>
    <x:row r="19" ht="79.19999694824219" hidden="0" customHeight="1">
      <x:c r="A19" s="22" t="str">
        <x:v>JLC_STOCK_SMT</x:v>
      </x:c>
      <x:c r="B19" s="22" t="str">
        <x:v>NCU18XH103F60RB</x:v>
      </x:c>
      <x:c r="C19" s="22" t="str">
        <x:v>C440252</x:v>
      </x:c>
      <x:c r="D19" s="22" t="str">
        <x:v>TH1</x:v>
      </x:c>
      <x:c r="E19" s="22" t="str">
        <x:v>Resistor_SMD:R_0603_1608Metric</x:v>
      </x:c>
      <x:c r="F19" s="31" t="n">
        <x:v>1</x:v>
      </x:c>
      <x:c r="G19" s="31" t="n">
        <x:v>5</x:v>
      </x:c>
      <x:c r="H19" s="31" t="str">
        <x:v>JLC quote</x:v>
      </x:c>
      <x:c r="I19" s="31" t="n">
        <x:v>23</x:v>
      </x:c>
      <x:c r="J19" s="31" t="str">
        <x:v>JPY</x:v>
      </x:c>
      <x:c r="K19" s="31" t="n">
        <x:v>115</x:v>
      </x:c>
      <x:c r="L19" s="22" t="str">
        <x:v>https://jlcpcb.com/partdetail/NCU18XH103F60RB/C440252</x:v>
      </x:c>
      <x:c r="M19" s="22" t="str">
        <x:v>REFERENCE_PRICE_RECHECK_AT_CHECKOUT</x:v>
      </x:c>
    </x:row>
    <x:row r="20" ht="52.79999923706055" hidden="0" customHeight="1">
      <x:c r="A20" s="22" t="str">
        <x:v>JLC_STOCK_SMT</x:v>
      </x:c>
      <x:c r="B20" s="22" t="str">
        <x:v>RC0201FR-07100KL</x:v>
      </x:c>
      <x:c r="C20" s="22" t="str"/>
      <x:c r="D20" s="22" t="str">
        <x:v>R13</x:v>
      </x:c>
      <x:c r="E20" s="22" t="str">
        <x:v>Resistor_SMD:R_0402_1005Metric</x:v>
      </x:c>
      <x:c r="F20" s="31" t="n">
        <x:v>1</x:v>
      </x:c>
      <x:c r="G20" s="31" t="n">
        <x:v>5</x:v>
      </x:c>
      <x:c r="H20" s="31" t="str">
        <x:v>JLC quote</x:v>
      </x:c>
      <x:c r="I20" s="31"/>
      <x:c r="J20" s="31" t="str">
        <x:v>JPY</x:v>
      </x:c>
      <x:c r="K20" s="31"/>
      <x:c r="L20" s="22" t="str"/>
      <x:c r="M20" s="22" t="str">
        <x:v>PRICE_FROM_JLC_QUOTE_REQUIRED</x:v>
      </x:c>
    </x:row>
    <x:row r="21" ht="105.5999984741211" hidden="0" customHeight="1">
      <x:c r="A21" s="22" t="str">
        <x:v>JLC_STOCK_SMT</x:v>
      </x:c>
      <x:c r="B21" s="22" t="str">
        <x:v>RC0402FR-07100KL</x:v>
      </x:c>
      <x:c r="C21" s="22" t="str"/>
      <x:c r="D21" s="22" t="str">
        <x:v>R12 R15 R22 R3 R36 R37 R38 R4 R40 R49 R50</x:v>
      </x:c>
      <x:c r="E21" s="22" t="str">
        <x:v>Resistor_SMD:R_0402_1005Metric</x:v>
      </x:c>
      <x:c r="F21" s="31" t="n">
        <x:v>11</x:v>
      </x:c>
      <x:c r="G21" s="31" t="n">
        <x:v>55</x:v>
      </x:c>
      <x:c r="H21" s="31" t="str">
        <x:v>JLC quote</x:v>
      </x:c>
      <x:c r="I21" s="31" t="n">
        <x:v>1.96</x:v>
      </x:c>
      <x:c r="J21" s="31" t="str">
        <x:v>JPY</x:v>
      </x:c>
      <x:c r="K21" s="31" t="n">
        <x:v>107.8</x:v>
      </x:c>
      <x:c r="L21" s="22" t="str">
        <x:v>https://www.digikey.jp/ja/products/detail/yageo/RC0402FR-07100KL/729473</x:v>
      </x:c>
      <x:c r="M21" s="22" t="str">
        <x:v>REFERENCE_PRICE_RECHECK_AT_CHECKOUT</x:v>
      </x:c>
    </x:row>
    <x:row r="22" ht="105.5999984741211" hidden="0" customHeight="1">
      <x:c r="A22" s="22" t="str">
        <x:v>JLC_STOCK_SMT</x:v>
      </x:c>
      <x:c r="B22" s="22" t="str">
        <x:v>RC0402FR-0710KL</x:v>
      </x:c>
      <x:c r="C22" s="22" t="str"/>
      <x:c r="D22" s="22" t="str">
        <x:v>R2 R35 R47 R48</x:v>
      </x:c>
      <x:c r="E22" s="22" t="str">
        <x:v>Resistor_SMD:R_0402_1005Metric</x:v>
      </x:c>
      <x:c r="F22" s="31" t="n">
        <x:v>4</x:v>
      </x:c>
      <x:c r="G22" s="31" t="n">
        <x:v>20</x:v>
      </x:c>
      <x:c r="H22" s="31" t="str">
        <x:v>JLC quote</x:v>
      </x:c>
      <x:c r="I22" s="31" t="n">
        <x:v>2.48</x:v>
      </x:c>
      <x:c r="J22" s="31" t="str">
        <x:v>JPY</x:v>
      </x:c>
      <x:c r="K22" s="31" t="n">
        <x:v>49.6</x:v>
      </x:c>
      <x:c r="L22" s="22" t="str">
        <x:v>https://www.digikey.jp/ja/products/detail/yageo/RC0402FR-0710KL/726523</x:v>
      </x:c>
      <x:c r="M22" s="22" t="str">
        <x:v>REFERENCE_PRICE_RECHECK_AT_CHECKOUT</x:v>
      </x:c>
    </x:row>
    <x:row r="23" ht="105.5999984741211" hidden="0" customHeight="1">
      <x:c r="A23" s="22" t="str">
        <x:v>JLC_STOCK_SMT</x:v>
      </x:c>
      <x:c r="B23" s="22" t="str">
        <x:v>RC0402FR-071ML</x:v>
      </x:c>
      <x:c r="C23" s="22" t="str"/>
      <x:c r="D23" s="22" t="str">
        <x:v>R14 R33 R34</x:v>
      </x:c>
      <x:c r="E23" s="22" t="str">
        <x:v>Resistor_SMD:R_0402_1005Metric</x:v>
      </x:c>
      <x:c r="F23" s="31" t="n">
        <x:v>3</x:v>
      </x:c>
      <x:c r="G23" s="31" t="n">
        <x:v>15</x:v>
      </x:c>
      <x:c r="H23" s="31" t="str">
        <x:v>JLC quote</x:v>
      </x:c>
      <x:c r="I23" s="31" t="n">
        <x:v>3.4</x:v>
      </x:c>
      <x:c r="J23" s="31" t="str">
        <x:v>JPY</x:v>
      </x:c>
      <x:c r="K23" s="31" t="n">
        <x:v>51</x:v>
      </x:c>
      <x:c r="L23" s="22" t="str">
        <x:v>https://www.digikey.jp/en/products/detail/yageo/RC0402FR-071ML/729462</x:v>
      </x:c>
      <x:c r="M23" s="22" t="str">
        <x:v>REFERENCE_PRICE_RECHECK_AT_CHECKOUT</x:v>
      </x:c>
    </x:row>
    <x:row r="24" ht="105.5999984741211" hidden="0" customHeight="1">
      <x:c r="A24" s="22" t="str">
        <x:v>JLC_STOCK_SMT</x:v>
      </x:c>
      <x:c r="B24" s="22" t="str">
        <x:v>RC0402FR-0720KL</x:v>
      </x:c>
      <x:c r="C24" s="22" t="str"/>
      <x:c r="D24" s="22" t="str">
        <x:v>R11 R39</x:v>
      </x:c>
      <x:c r="E24" s="22" t="str">
        <x:v>Resistor_SMD:R_0402_1005Metric</x:v>
      </x:c>
      <x:c r="F24" s="31" t="n">
        <x:v>2</x:v>
      </x:c>
      <x:c r="G24" s="31" t="n">
        <x:v>10</x:v>
      </x:c>
      <x:c r="H24" s="31" t="str">
        <x:v>JLC quote</x:v>
      </x:c>
      <x:c r="I24" s="31" t="n">
        <x:v>3.5</x:v>
      </x:c>
      <x:c r="J24" s="31" t="str">
        <x:v>JPY</x:v>
      </x:c>
      <x:c r="K24" s="31" t="n">
        <x:v>35</x:v>
      </x:c>
      <x:c r="L24" s="22" t="str">
        <x:v>https://www.digikey.jp/ja/products/detail/yageo/RC0402FR-0720KL/726557</x:v>
      </x:c>
      <x:c r="M24" s="22" t="str">
        <x:v>REFERENCE_PRICE_RECHECK_AT_CHECKOUT</x:v>
      </x:c>
    </x:row>
    <x:row r="25" ht="105.5999984741211" hidden="0" customHeight="1">
      <x:c r="A25" s="22" t="str">
        <x:v>JLC_STOCK_SMT</x:v>
      </x:c>
      <x:c r="B25" s="22" t="str">
        <x:v>RC0402FR-0722RL</x:v>
      </x:c>
      <x:c r="C25" s="22" t="str"/>
      <x:c r="D25" s="22" t="str">
        <x:v>R21 R23</x:v>
      </x:c>
      <x:c r="E25" s="22" t="str">
        <x:v>Resistor_SMD:R_0402_1005Metric</x:v>
      </x:c>
      <x:c r="F25" s="31" t="n">
        <x:v>2</x:v>
      </x:c>
      <x:c r="G25" s="31" t="n">
        <x:v>10</x:v>
      </x:c>
      <x:c r="H25" s="31" t="str">
        <x:v>JLC quote</x:v>
      </x:c>
      <x:c r="I25" s="31" t="n">
        <x:v>3.7</x:v>
      </x:c>
      <x:c r="J25" s="31" t="str">
        <x:v>JPY</x:v>
      </x:c>
      <x:c r="K25" s="31" t="n">
        <x:v>37</x:v>
      </x:c>
      <x:c r="L25" s="22" t="str">
        <x:v>https://www.digikey.jp/ja/products/detail/yageo/RC0402FR-0722RL/729509</x:v>
      </x:c>
      <x:c r="M25" s="22" t="str">
        <x:v>REFERENCE_PRICE_RECHECK_AT_CHECKOUT</x:v>
      </x:c>
    </x:row>
    <x:row r="26" ht="105.5999984741211" hidden="0" customHeight="1">
      <x:c r="A26" s="22" t="str">
        <x:v>JLC_STOCK_SMT</x:v>
      </x:c>
      <x:c r="B26" s="22" t="str">
        <x:v>RC0402FR-0747KL</x:v>
      </x:c>
      <x:c r="C26" s="22" t="str"/>
      <x:c r="D26" s="22" t="str">
        <x:v>R24 R25 R28</x:v>
      </x:c>
      <x:c r="E26" s="22" t="str">
        <x:v>Resistor_SMD:R_0402_1005Metric</x:v>
      </x:c>
      <x:c r="F26" s="31" t="n">
        <x:v>3</x:v>
      </x:c>
      <x:c r="G26" s="31" t="n">
        <x:v>15</x:v>
      </x:c>
      <x:c r="H26" s="31" t="str">
        <x:v>JLC quote</x:v>
      </x:c>
      <x:c r="I26" s="31" t="n">
        <x:v>2.52</x:v>
      </x:c>
      <x:c r="J26" s="31" t="str">
        <x:v>JPY</x:v>
      </x:c>
      <x:c r="K26" s="31" t="n">
        <x:v>37.8</x:v>
      </x:c>
      <x:c r="L26" s="22" t="str">
        <x:v>https://www.digikey.jp/en/products/detail/yageo/RC0402FR-0747KL/726616</x:v>
      </x:c>
      <x:c r="M26" s="22" t="str">
        <x:v>REFERENCE_PRICE_RECHECK_AT_CHECKOUT</x:v>
      </x:c>
    </x:row>
    <x:row r="27" ht="52.79999923706055" hidden="0" customHeight="1">
      <x:c r="A27" s="22" t="str">
        <x:v>JLC_STOCK_SMT</x:v>
      </x:c>
      <x:c r="B27" s="22" t="str">
        <x:v>RC0402FR-074K7L</x:v>
      </x:c>
      <x:c r="C27" s="22" t="str">
        <x:v>C105871</x:v>
      </x:c>
      <x:c r="D27" s="22" t="str">
        <x:v>R43</x:v>
      </x:c>
      <x:c r="E27" s="22" t="str">
        <x:v>Resistor_SMD:R_0402_1005Metric</x:v>
      </x:c>
      <x:c r="F27" s="31" t="n">
        <x:v>1</x:v>
      </x:c>
      <x:c r="G27" s="31" t="n">
        <x:v>5</x:v>
      </x:c>
      <x:c r="H27" s="31" t="str">
        <x:v>JLC quote</x:v>
      </x:c>
      <x:c r="I27" s="31"/>
      <x:c r="J27" s="31" t="str">
        <x:v>JPY</x:v>
      </x:c>
      <x:c r="K27" s="31"/>
      <x:c r="L27" s="22" t="str"/>
      <x:c r="M27" s="22" t="str">
        <x:v>PRICE_FROM_JLC_QUOTE_REQUIRED</x:v>
      </x:c>
    </x:row>
    <x:row r="28" ht="105.5999984741211" hidden="0" customHeight="1">
      <x:c r="A28" s="22" t="str">
        <x:v>JLC_STOCK_SMT</x:v>
      </x:c>
      <x:c r="B28" s="22" t="str">
        <x:v>RC0402FR-075K1L</x:v>
      </x:c>
      <x:c r="C28" s="22" t="str"/>
      <x:c r="D28" s="22" t="str">
        <x:v>R6 R7</x:v>
      </x:c>
      <x:c r="E28" s="22" t="str">
        <x:v>Resistor_SMD:R_0402_1005Metric</x:v>
      </x:c>
      <x:c r="F28" s="31" t="n">
        <x:v>2</x:v>
      </x:c>
      <x:c r="G28" s="31" t="n">
        <x:v>10</x:v>
      </x:c>
      <x:c r="H28" s="31" t="str">
        <x:v>JLC quote</x:v>
      </x:c>
      <x:c r="I28" s="31" t="n">
        <x:v>3.4</x:v>
      </x:c>
      <x:c r="J28" s="31" t="str">
        <x:v>JPY</x:v>
      </x:c>
      <x:c r="K28" s="31" t="n">
        <x:v>34</x:v>
      </x:c>
      <x:c r="L28" s="22" t="str">
        <x:v>https://www.digikey.jp/ja/products/detail/yageo/RC0402FR-075K1L/726624</x:v>
      </x:c>
      <x:c r="M28" s="22" t="str">
        <x:v>REFERENCE_PRICE_RECHECK_AT_CHECKOUT</x:v>
      </x:c>
    </x:row>
    <x:row r="29" ht="105.5999984741211" hidden="0" customHeight="1">
      <x:c r="A29" s="22" t="str">
        <x:v>JLC_STOCK_SMT</x:v>
      </x:c>
      <x:c r="B29" s="22" t="str">
        <x:v>RC0402FR-076K8L</x:v>
      </x:c>
      <x:c r="C29" s="22" t="str"/>
      <x:c r="D29" s="22" t="str">
        <x:v>R10</x:v>
      </x:c>
      <x:c r="E29" s="22" t="str">
        <x:v>Resistor_SMD:R_0402_1005Metric</x:v>
      </x:c>
      <x:c r="F29" s="31" t="n">
        <x:v>1</x:v>
      </x:c>
      <x:c r="G29" s="31" t="n">
        <x:v>5</x:v>
      </x:c>
      <x:c r="H29" s="31" t="str">
        <x:v>JLC quote</x:v>
      </x:c>
      <x:c r="I29" s="31" t="n">
        <x:v>3.6</x:v>
      </x:c>
      <x:c r="J29" s="31" t="str">
        <x:v>JPY</x:v>
      </x:c>
      <x:c r="K29" s="31" t="n">
        <x:v>18</x:v>
      </x:c>
      <x:c r="L29" s="22" t="str">
        <x:v>https://www.digikey.jp/ja/products/detail/yageo/RC0402FR-076K8L/726642</x:v>
      </x:c>
      <x:c r="M29" s="22" t="str">
        <x:v>REFERENCE_PRICE_RECHECK_AT_CHECKOUT</x:v>
      </x:c>
    </x:row>
    <x:row r="30" ht="105.5999984741211" hidden="0" customHeight="1">
      <x:c r="A30" s="22" t="str">
        <x:v>JLC_STOCK_SMT</x:v>
      </x:c>
      <x:c r="B30" s="22" t="str">
        <x:v>RC0402FR-077K5L</x:v>
      </x:c>
      <x:c r="C30" s="22" t="str"/>
      <x:c r="D30" s="22" t="str">
        <x:v>R41</x:v>
      </x:c>
      <x:c r="E30" s="22" t="str">
        <x:v>Resistor_SMD:R_0402_1005Metric</x:v>
      </x:c>
      <x:c r="F30" s="31" t="n">
        <x:v>1</x:v>
      </x:c>
      <x:c r="G30" s="31" t="n">
        <x:v>5</x:v>
      </x:c>
      <x:c r="H30" s="31" t="str">
        <x:v>JLC quote</x:v>
      </x:c>
      <x:c r="I30" s="31" t="n">
        <x:v>16</x:v>
      </x:c>
      <x:c r="J30" s="31" t="str">
        <x:v>JPY</x:v>
      </x:c>
      <x:c r="K30" s="31" t="n">
        <x:v>80</x:v>
      </x:c>
      <x:c r="L30" s="22" t="str">
        <x:v>https://www.digikey.jp/ja/products/detail/yageo/RC0402FR-077K5L/726655</x:v>
      </x:c>
      <x:c r="M30" s="22" t="str">
        <x:v>REFERENCE_PRICE_RECHECK_AT_CHECKOUT</x:v>
      </x:c>
    </x:row>
    <x:row r="31" ht="105.5999984741211" hidden="0" customHeight="1">
      <x:c r="A31" s="22" t="str">
        <x:v>JLC_STOCK_SMT</x:v>
      </x:c>
      <x:c r="B31" s="22" t="str">
        <x:v>RC0402JR-070RL</x:v>
      </x:c>
      <x:c r="C31" s="22" t="str"/>
      <x:c r="D31" s="22" t="str">
        <x:v>R1</x:v>
      </x:c>
      <x:c r="E31" s="22" t="str">
        <x:v>Resistor_SMD:R_0402_1005Metric</x:v>
      </x:c>
      <x:c r="F31" s="31" t="n">
        <x:v>1</x:v>
      </x:c>
      <x:c r="G31" s="31" t="n">
        <x:v>5</x:v>
      </x:c>
      <x:c r="H31" s="31" t="str">
        <x:v>JLC quote</x:v>
      </x:c>
      <x:c r="I31" s="31" t="n">
        <x:v>16</x:v>
      </x:c>
      <x:c r="J31" s="31" t="str">
        <x:v>JPY</x:v>
      </x:c>
      <x:c r="K31" s="31" t="n">
        <x:v>80</x:v>
      </x:c>
      <x:c r="L31" s="22" t="str">
        <x:v>https://www.digikey.jp/ja/products/detail/yageo/RC0402JR-070RL/726406</x:v>
      </x:c>
      <x:c r="M31" s="22" t="str">
        <x:v>REFERENCE_PRICE_RECHECK_AT_CHECKOUT</x:v>
      </x:c>
    </x:row>
    <x:row r="32" ht="118.80000305175781" hidden="0" customHeight="1">
      <x:c r="A32" s="22" t="str">
        <x:v>JLC_STOCK_SMT</x:v>
      </x:c>
      <x:c r="B32" s="22" t="str">
        <x:v>SN74HCS74DYYR</x:v>
      </x:c>
      <x:c r="C32" s="22" t="str">
        <x:v>C5212335</x:v>
      </x:c>
      <x:c r="D32" s="22" t="str">
        <x:v>U14</x:v>
      </x:c>
      <x:c r="E32" s="22" t="str">
        <x:v>Pendant_Input:Texas_DYY0014A</x:v>
      </x:c>
      <x:c r="F32" s="31" t="n">
        <x:v>1</x:v>
      </x:c>
      <x:c r="G32" s="31" t="n">
        <x:v>5</x:v>
      </x:c>
      <x:c r="H32" s="31" t="str">
        <x:v>JLC quote</x:v>
      </x:c>
      <x:c r="I32" s="31" t="n">
        <x:v>49</x:v>
      </x:c>
      <x:c r="J32" s="31" t="str">
        <x:v>JPY</x:v>
      </x:c>
      <x:c r="K32" s="31" t="n">
        <x:v>245</x:v>
      </x:c>
      <x:c r="L32" s="22" t="str">
        <x:v>https://www.digikey.jp/en/products/detail/texas-instruments/SN74HCS74DYYR/16184246</x:v>
      </x:c>
      <x:c r="M32" s="22" t="str">
        <x:v>REFERENCE_PRICE_RECHECK_AT_CHECKOUT</x:v>
      </x:c>
    </x:row>
    <x:row r="33" ht="118.80000305175781" hidden="0" customHeight="1">
      <x:c r="A33" s="22" t="str">
        <x:v>JLC_PREORDER_OR_MANUAL_MATCH</x:v>
      </x:c>
      <x:c r="B33" s="22" t="str">
        <x:v>STM32U535CEU6</x:v>
      </x:c>
      <x:c r="C33" s="22" t="str">
        <x:v>C22454224</x:v>
      </x:c>
      <x:c r="D33" s="22" t="str">
        <x:v>U1</x:v>
      </x:c>
      <x:c r="E33" s="22" t="str">
        <x:v>Package_DFN_QFN:QFN-48-1EP_7x7mm_P0.5mm_EP5.6x5.6mm</x:v>
      </x:c>
      <x:c r="F33" s="31" t="n">
        <x:v>1</x:v>
      </x:c>
      <x:c r="G33" s="31" t="n">
        <x:v>5</x:v>
      </x:c>
      <x:c r="H33" s="31" t="str">
        <x:v>JLC quote</x:v>
      </x:c>
      <x:c r="I33" s="31" t="n">
        <x:v>1318</x:v>
      </x:c>
      <x:c r="J33" s="31" t="str">
        <x:v>JPY</x:v>
      </x:c>
      <x:c r="K33" s="31" t="n">
        <x:v>6590</x:v>
      </x:c>
      <x:c r="L33" s="22" t="str">
        <x:v>https://www.digikey.jp/ja/products/detail/stmicroelectronics/STM32U535CEU6/21348967</x:v>
      </x:c>
      <x:c r="M33" s="22" t="str">
        <x:v>REFERENCE_PRICE_RECHECK_AT_CHECKOUT</x:v>
      </x:c>
    </x:row>
    <x:row r="34" ht="118.80000305175781" hidden="0" customHeight="1">
      <x:c r="A34" s="22" t="str">
        <x:v>JLC_PREORDER_OR_MANUAL_MATCH</x:v>
      </x:c>
      <x:c r="B34" s="22" t="str">
        <x:v>TLV7042DDFR</x:v>
      </x:c>
      <x:c r="C34" s="22" t="str">
        <x:v>C2867856</x:v>
      </x:c>
      <x:c r="D34" s="22" t="str">
        <x:v>U12</x:v>
      </x:c>
      <x:c r="E34" s="22" t="str">
        <x:v>Package_TO_SOT_SMD:SOT-23-8</x:v>
      </x:c>
      <x:c r="F34" s="31" t="n">
        <x:v>1</x:v>
      </x:c>
      <x:c r="G34" s="31" t="n">
        <x:v>5</x:v>
      </x:c>
      <x:c r="H34" s="31" t="str">
        <x:v>JLC quote</x:v>
      </x:c>
      <x:c r="I34" s="31" t="n">
        <x:v>304</x:v>
      </x:c>
      <x:c r="J34" s="31" t="str">
        <x:v>JPY</x:v>
      </x:c>
      <x:c r="K34" s="31" t="n">
        <x:v>1520</x:v>
      </x:c>
      <x:c r="L34" s="22" t="str">
        <x:v>https://www.digikey.jp/ja/products/detail/texas-instruments/TLV7042DDFR/13173878</x:v>
      </x:c>
      <x:c r="M34" s="22" t="str">
        <x:v>REFERENCE_PRICE_RECHECK_AT_CHECKOUT</x:v>
      </x:c>
    </x:row>
    <x:row r="35" ht="118.80000305175781" hidden="0" customHeight="1">
      <x:c r="A35" s="22" t="str">
        <x:v>JLC_STOCK_SMT</x:v>
      </x:c>
      <x:c r="B35" s="22" t="str">
        <x:v>TLV803EB29DBZR</x:v>
      </x:c>
      <x:c r="C35" s="22" t="str">
        <x:v>C2869935</x:v>
      </x:c>
      <x:c r="D35" s="22" t="str">
        <x:v>U15</x:v>
      </x:c>
      <x:c r="E35" s="22" t="str">
        <x:v>Package_TO_SOT_SMD:SOT-23</x:v>
      </x:c>
      <x:c r="F35" s="31" t="n">
        <x:v>1</x:v>
      </x:c>
      <x:c r="G35" s="31" t="n">
        <x:v>5</x:v>
      </x:c>
      <x:c r="H35" s="31" t="str">
        <x:v>JLC quote</x:v>
      </x:c>
      <x:c r="I35" s="31" t="n">
        <x:v>82</x:v>
      </x:c>
      <x:c r="J35" s="31" t="str">
        <x:v>JPY</x:v>
      </x:c>
      <x:c r="K35" s="31" t="n">
        <x:v>410</x:v>
      </x:c>
      <x:c r="L35" s="22" t="str">
        <x:v>https://www.digikey.jp/ja/products/detail/texas-instruments/TLV803EB29DBZR/12352263</x:v>
      </x:c>
      <x:c r="M35" s="22" t="str">
        <x:v>REFERENCE_PRICE_RECHECK_AT_CHECKOUT</x:v>
      </x:c>
    </x:row>
    <x:row r="36" ht="52.79999923706055" hidden="0" customHeight="1">
      <x:c r="A36" s="22" t="str">
        <x:v>JLC_STOCK_SMT</x:v>
      </x:c>
      <x:c r="B36" s="22" t="str">
        <x:v>TNPW040219K1BEED</x:v>
      </x:c>
      <x:c r="C36" s="22" t="str"/>
      <x:c r="D36" s="22" t="str">
        <x:v>R44</x:v>
      </x:c>
      <x:c r="E36" s="22" t="str">
        <x:v>Resistor_SMD:R_0402_1005Metric</x:v>
      </x:c>
      <x:c r="F36" s="31" t="n">
        <x:v>1</x:v>
      </x:c>
      <x:c r="G36" s="31" t="n">
        <x:v>5</x:v>
      </x:c>
      <x:c r="H36" s="31" t="str">
        <x:v>JLC quote</x:v>
      </x:c>
      <x:c r="I36" s="31"/>
      <x:c r="J36" s="31" t="str">
        <x:v>JPY</x:v>
      </x:c>
      <x:c r="K36" s="31"/>
      <x:c r="L36" s="22" t="str"/>
      <x:c r="M36" s="22" t="str">
        <x:v>PRICE_FROM_JLC_QUOTE_REQUIRED</x:v>
      </x:c>
    </x:row>
    <x:row r="37" ht="118.80000305175781" hidden="0" customHeight="1">
      <x:c r="A37" s="22" t="str">
        <x:v>JLC_STOCK_SMT</x:v>
      </x:c>
      <x:c r="B37" s="22" t="str">
        <x:v>TPS22916CYFPR</x:v>
      </x:c>
      <x:c r="C37" s="22" t="str">
        <x:v>C2680319</x:v>
      </x:c>
      <x:c r="D37" s="22" t="str">
        <x:v>U10</x:v>
      </x:c>
      <x:c r="E37" s="22" t="str">
        <x:v>Pendant:TPS22916_YFP4</x:v>
      </x:c>
      <x:c r="F37" s="31" t="n">
        <x:v>1</x:v>
      </x:c>
      <x:c r="G37" s="31" t="n">
        <x:v>5</x:v>
      </x:c>
      <x:c r="H37" s="31" t="str">
        <x:v>JLC quote</x:v>
      </x:c>
      <x:c r="I37" s="31" t="n">
        <x:v>91</x:v>
      </x:c>
      <x:c r="J37" s="31" t="str">
        <x:v>JPY</x:v>
      </x:c>
      <x:c r="K37" s="31" t="n">
        <x:v>455</x:v>
      </x:c>
      <x:c r="L37" s="22" t="str">
        <x:v>https://www.digikey.jp/ja/products/detail/texas-instruments/TPS22916CYFPR/8105767</x:v>
      </x:c>
      <x:c r="M37" s="22" t="str">
        <x:v>REFERENCE_PRICE_RECHECK_AT_CHECKOUT</x:v>
      </x:c>
    </x:row>
    <x:row r="38" ht="118.80000305175781" hidden="0" customHeight="1">
      <x:c r="A38" s="22" t="str">
        <x:v>JLC_STOCK_SMT</x:v>
      </x:c>
      <x:c r="B38" s="22" t="str">
        <x:v>TPS7A0233PDBVR</x:v>
      </x:c>
      <x:c r="C38" s="22" t="str">
        <x:v>C2887324</x:v>
      </x:c>
      <x:c r="D38" s="22" t="str">
        <x:v>U4</x:v>
      </x:c>
      <x:c r="E38" s="22" t="str">
        <x:v>Package_TO_SOT_SMD:SOT-23-5</x:v>
      </x:c>
      <x:c r="F38" s="31" t="n">
        <x:v>1</x:v>
      </x:c>
      <x:c r="G38" s="31" t="n">
        <x:v>5</x:v>
      </x:c>
      <x:c r="H38" s="31" t="str">
        <x:v>JLC quote</x:v>
      </x:c>
      <x:c r="I38" s="31" t="n">
        <x:v>137</x:v>
      </x:c>
      <x:c r="J38" s="31" t="str">
        <x:v>JPY</x:v>
      </x:c>
      <x:c r="K38" s="31" t="n">
        <x:v>685</x:v>
      </x:c>
      <x:c r="L38" s="22" t="str">
        <x:v>https://www.digikey.jp/ja/products/detail/texas-instruments/TPS7A0233PDBVR/12165099</x:v>
      </x:c>
      <x:c r="M38" s="22" t="str">
        <x:v>REFERENCE_PRICE_RECHECK_AT_CHECKOUT</x:v>
      </x:c>
    </x:row>
    <x:row r="39" ht="92.4000015258789" hidden="0" customHeight="1">
      <x:c r="A39" s="22" t="str">
        <x:v>JLC_PREORDER_OR_MANUAL_MATCH</x:v>
      </x:c>
      <x:c r="B39" s="22" t="str">
        <x:v>USB4105-GF-A</x:v>
      </x:c>
      <x:c r="C39" s="22" t="str">
        <x:v>C3020560</x:v>
      </x:c>
      <x:c r="D39" s="22" t="str">
        <x:v>J1</x:v>
      </x:c>
      <x:c r="E39" s="22" t="str">
        <x:v>PendantD1:USB_C_GCT_USB4105_GroundLand112</x:v>
      </x:c>
      <x:c r="F39" s="31" t="n">
        <x:v>1</x:v>
      </x:c>
      <x:c r="G39" s="31" t="n">
        <x:v>5</x:v>
      </x:c>
      <x:c r="H39" s="31" t="str">
        <x:v>JLC quote</x:v>
      </x:c>
      <x:c r="I39" s="31" t="n">
        <x:v>131</x:v>
      </x:c>
      <x:c r="J39" s="31" t="str">
        <x:v>JPY</x:v>
      </x:c>
      <x:c r="K39" s="31" t="n">
        <x:v>655</x:v>
      </x:c>
      <x:c r="L39" s="22" t="str">
        <x:v>https://www.digikey.jp/ja/products/detail/gct/USB4105-GF-A/11198441</x:v>
      </x:c>
      <x:c r="M39" s="22" t="str">
        <x:v>REFERENCE_PRICE_RECHECK_AT_CHECKOUT</x:v>
      </x:c>
    </x:row>
    <x:row r="40" ht="105.5999984741211" hidden="0" customHeight="1">
      <x:c r="A40" s="22" t="str">
        <x:v>JLC_STOCK_SMT</x:v>
      </x:c>
      <x:c r="B40" s="22" t="str">
        <x:v>USBLC6-2P6</x:v>
      </x:c>
      <x:c r="C40" s="22" t="str">
        <x:v>C15999</x:v>
      </x:c>
      <x:c r="D40" s="22" t="str">
        <x:v>U2</x:v>
      </x:c>
      <x:c r="E40" s="22" t="str">
        <x:v>Package_TO_SOT_SMD:SOT-666</x:v>
      </x:c>
      <x:c r="F40" s="31" t="n">
        <x:v>1</x:v>
      </x:c>
      <x:c r="G40" s="31" t="n">
        <x:v>5</x:v>
      </x:c>
      <x:c r="H40" s="31" t="str">
        <x:v>JLC quote</x:v>
      </x:c>
      <x:c r="I40" s="31" t="n">
        <x:v>113</x:v>
      </x:c>
      <x:c r="J40" s="31" t="str">
        <x:v>JPY</x:v>
      </x:c>
      <x:c r="K40" s="31" t="n">
        <x:v>565</x:v>
      </x:c>
      <x:c r="L40" s="22" t="str">
        <x:v>https://www.digikey.jp/ja/products/detail/stmicroelectronics/USBLC6-2P6/1007440</x:v>
      </x:c>
      <x:c r="M40" s="22" t="str">
        <x:v>REFERENCE_PRICE_RECHECK_AT_CHECKOUT</x:v>
      </x:c>
    </x:row>
    <x:row r="41" ht="66" hidden="0" customHeight="1">
      <x:c r="A41" s="22" t="str">
        <x:v>DNP</x:v>
      </x:c>
      <x:c r="B41" s="22" t="str">
        <x:v>DNP</x:v>
      </x:c>
      <x:c r="C41" s="22" t="str"/>
      <x:c r="D41" s="22" t="str">
        <x:v>D6</x:v>
      </x:c>
      <x:c r="E41" s="22" t="str">
        <x:v>LED_SMD:LED_0402_1005Metric</x:v>
      </x:c>
      <x:c r="F41" s="31" t="n">
        <x:v>0</x:v>
      </x:c>
      <x:c r="G41" s="31" t="n">
        <x:v>0</x:v>
      </x:c>
      <x:c r="H41" s="31" t="n">
        <x:v>0</x:v>
      </x:c>
      <x:c r="I41" s="31" t="n">
        <x:v>0</x:v>
      </x:c>
      <x:c r="J41" s="31" t="str">
        <x:v>JPY</x:v>
      </x:c>
      <x:c r="K41" s="31" t="n">
        <x:v>0</x:v>
      </x:c>
      <x:c r="L41" s="22" t="str"/>
      <x:c r="M41" s="22" t="str">
        <x:v>FIXED_INPUT_LIMIT_PROTOTYPE; LED OMITTED</x:v>
      </x:c>
    </x:row>
    <x:row r="42" ht="66" hidden="0" customHeight="1">
      <x:c r="A42" s="22" t="str">
        <x:v>DNP</x:v>
      </x:c>
      <x:c r="B42" s="22" t="str">
        <x:v>DNP</x:v>
      </x:c>
      <x:c r="C42" s="22" t="str"/>
      <x:c r="D42" s="22" t="str">
        <x:v>Q5</x:v>
      </x:c>
      <x:c r="E42" s="22" t="str">
        <x:v>Package_TO_SOT_SMD:SOT-23</x:v>
      </x:c>
      <x:c r="F42" s="31" t="n">
        <x:v>0</x:v>
      </x:c>
      <x:c r="G42" s="31" t="n">
        <x:v>0</x:v>
      </x:c>
      <x:c r="H42" s="31" t="n">
        <x:v>0</x:v>
      </x:c>
      <x:c r="I42" s="31" t="n">
        <x:v>0</x:v>
      </x:c>
      <x:c r="J42" s="31" t="str">
        <x:v>JPY</x:v>
      </x:c>
      <x:c r="K42" s="31" t="n">
        <x:v>0</x:v>
      </x:c>
      <x:c r="L42" s="22" t="str"/>
      <x:c r="M42" s="22" t="str">
        <x:v>FIXED_INPUT_LIMIT_PROTOTYPE; LED OMITTED</x:v>
      </x:c>
    </x:row>
    <x:row r="43" ht="66" hidden="0" customHeight="1">
      <x:c r="A43" s="22" t="str">
        <x:v>DNP</x:v>
      </x:c>
      <x:c r="B43" s="22" t="str">
        <x:v>DNP</x:v>
      </x:c>
      <x:c r="C43" s="22" t="str"/>
      <x:c r="D43" s="22" t="str">
        <x:v>R32</x:v>
      </x:c>
      <x:c r="E43" s="22" t="str">
        <x:v>Resistor_SMD:R_0402_1005Metric</x:v>
      </x:c>
      <x:c r="F43" s="31" t="n">
        <x:v>0</x:v>
      </x:c>
      <x:c r="G43" s="31" t="n">
        <x:v>0</x:v>
      </x:c>
      <x:c r="H43" s="31" t="n">
        <x:v>0</x:v>
      </x:c>
      <x:c r="I43" s="31" t="n">
        <x:v>0</x:v>
      </x:c>
      <x:c r="J43" s="31" t="str">
        <x:v>JPY</x:v>
      </x:c>
      <x:c r="K43" s="31" t="n">
        <x:v>0</x:v>
      </x:c>
      <x:c r="L43" s="22" t="str"/>
      <x:c r="M43" s="22" t="str">
        <x:v>FIXED_INPUT_LIMIT_PROTOTYPE; LED OMITTED</x:v>
      </x:c>
    </x:row>
    <x:row r="44" ht="66" hidden="0" customHeight="1">
      <x:c r="A44" s="22" t="str">
        <x:v>DNP</x:v>
      </x:c>
      <x:c r="B44" s="22" t="str">
        <x:v>DNP</x:v>
      </x:c>
      <x:c r="C44" s="22" t="str"/>
      <x:c r="D44" s="22" t="str">
        <x:v>R45</x:v>
      </x:c>
      <x:c r="E44" s="22" t="str">
        <x:v>Resistor_SMD:R_0402_1005Metric</x:v>
      </x:c>
      <x:c r="F44" s="31" t="n">
        <x:v>0</x:v>
      </x:c>
      <x:c r="G44" s="31" t="n">
        <x:v>0</x:v>
      </x:c>
      <x:c r="H44" s="31" t="n">
        <x:v>0</x:v>
      </x:c>
      <x:c r="I44" s="31" t="n">
        <x:v>0</x:v>
      </x:c>
      <x:c r="J44" s="31" t="str">
        <x:v>JPY</x:v>
      </x:c>
      <x:c r="K44" s="31" t="n">
        <x:v>0</x:v>
      </x:c>
      <x:c r="L44" s="22" t="str"/>
      <x:c r="M44" s="22" t="str">
        <x:v>FIXED_INPUT_LIMIT_PROTOTYPE; LED OMITTED</x:v>
      </x:c>
    </x:row>
    <x:row r="45" ht="66" hidden="0" customHeight="1">
      <x:c r="A45" s="22" t="str">
        <x:v>DNP</x:v>
      </x:c>
      <x:c r="B45" s="22" t="str">
        <x:v>DNP</x:v>
      </x:c>
      <x:c r="C45" s="22" t="str"/>
      <x:c r="D45" s="22" t="str">
        <x:v>R46</x:v>
      </x:c>
      <x:c r="E45" s="22" t="str">
        <x:v>Resistor_SMD:R_0402_1005Metric</x:v>
      </x:c>
      <x:c r="F45" s="31" t="n">
        <x:v>0</x:v>
      </x:c>
      <x:c r="G45" s="31" t="n">
        <x:v>0</x:v>
      </x:c>
      <x:c r="H45" s="31" t="n">
        <x:v>0</x:v>
      </x:c>
      <x:c r="I45" s="31" t="n">
        <x:v>0</x:v>
      </x:c>
      <x:c r="J45" s="31" t="str">
        <x:v>JPY</x:v>
      </x:c>
      <x:c r="K45" s="31" t="n">
        <x:v>0</x:v>
      </x:c>
      <x:c r="L45" s="22" t="str"/>
      <x:c r="M45" s="22" t="str">
        <x:v>FIXED_INPUT_LIMIT_PROTOTYPE; LED OMITTED</x:v>
      </x:c>
    </x:row>
    <x:row r="46" ht="39.599998474121094" hidden="0" customHeight="1">
      <x:c r="A46" s="22" t="str">
        <x:v>BUYER_FINAL_ASSEMBLY</x:v>
      </x:c>
      <x:c r="B46" s="22" t="str">
        <x:v>DTP401525-XE</x:v>
      </x:c>
      <x:c r="C46" s="22" t="str"/>
      <x:c r="D46" s="22" t="str">
        <x:v>BAT1</x:v>
      </x:c>
      <x:c r="E46" s="22" t="str">
        <x:v>110mAh 3-wire pack</x:v>
      </x:c>
      <x:c r="F46" s="31" t="n">
        <x:v>1</x:v>
      </x:c>
      <x:c r="G46" s="31" t="n">
        <x:v>5</x:v>
      </x:c>
      <x:c r="H46" s="31" t="n">
        <x:v>5</x:v>
      </x:c>
      <x:c r="I46" s="31" t="n">
        <x:v>1500</x:v>
      </x:c>
      <x:c r="J46" s="31" t="str">
        <x:v>JPY</x:v>
      </x:c>
      <x:c r="K46" s="31" t="n">
        <x:v>7500</x:v>
      </x:c>
      <x:c r="L46" s="22" t="str"/>
      <x:c r="M46" s="22" t="str">
        <x:v>USER_SUPPLIED_PACK</x:v>
      </x:c>
    </x:row>
    <x:row r="47" ht="66" hidden="0" customHeight="1">
      <x:c r="A47" s="22" t="str">
        <x:v>BUYER_FINAL_ASSEMBLY</x:v>
      </x:c>
      <x:c r="B47" s="22" t="str">
        <x:v>PEBBLE_CASE_V2</x:v>
      </x:c>
      <x:c r="C47" s="22" t="str"/>
      <x:c r="D47" s="22" t="str">
        <x:v>CASE</x:v>
      </x:c>
      <x:c r="E47" s="22" t="str">
        <x:v>printed enclosure</x:v>
      </x:c>
      <x:c r="F47" s="31" t="n">
        <x:v>1</x:v>
      </x:c>
      <x:c r="G47" s="31" t="n">
        <x:v>5</x:v>
      </x:c>
      <x:c r="H47" s="31" t="n">
        <x:v>5</x:v>
      </x:c>
      <x:c r="I47" s="31" t="n">
        <x:v>150</x:v>
      </x:c>
      <x:c r="J47" s="31" t="str">
        <x:v>JPY</x:v>
      </x:c>
      <x:c r="K47" s="31" t="n">
        <x:v>750</x:v>
      </x:c>
      <x:c r="L47" s="22" t="str"/>
      <x:c r="M47" s="22" t="str">
        <x:v>MATERIAL_ONLY_ESTIMATE; PRINT_LOCALLY</x:v>
      </x:c>
    </x:row>
    <x:row r="48" ht="79.19999694824219" hidden="0" customHeight="1">
      <x:c r="A48" s="22" t="str">
        <x:v>BUYER_FINAL_ASSEMBLY</x:v>
      </x:c>
      <x:c r="B48" s="22" t="str">
        <x:v>CORD_2MM</x:v>
      </x:c>
      <x:c r="C48" s="22" t="str"/>
      <x:c r="D48" s="22" t="str">
        <x:v>CORD</x:v>
      </x:c>
      <x:c r="E48" s="22" t="str">
        <x:v>2 mm necklace cord</x:v>
      </x:c>
      <x:c r="F48" s="31" t="n">
        <x:v>1</x:v>
      </x:c>
      <x:c r="G48" s="31" t="n">
        <x:v>5</x:v>
      </x:c>
      <x:c r="H48" s="31" t="n">
        <x:v>5</x:v>
      </x:c>
      <x:c r="I48" s="31" t="n">
        <x:v>300</x:v>
      </x:c>
      <x:c r="J48" s="31" t="str">
        <x:v>JPY</x:v>
      </x:c>
      <x:c r="K48" s="31" t="n">
        <x:v>1500</x:v>
      </x:c>
      <x:c r="L48" s="22" t="str"/>
      <x:c r="M48" s="22" t="str">
        <x:v>ESTIMATE; CUT_LENGTH_AFTER_WEAR_TEST</x:v>
      </x:c>
    </x:row>
  </x:sheetData>
  <x:pageMargins left="0.7" right="0.7" top="0.75" bottom="0.75" header="0.3" footer="0.3"/>
</x:worksheet>
</file>